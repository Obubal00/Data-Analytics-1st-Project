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customers" sheetId="1" r:id="rId5"/>
    <sheet state="visible" name="Pivot Table 1" sheetId="2" r:id="rId6"/>
    <sheet state="visible" name="Clean Data" sheetId="3" r:id="rId7"/>
    <sheet state="visible" name="Pivot Table 3" sheetId="4" r:id="rId8"/>
    <sheet state="visible" name="Pivot Table 2" sheetId="5" r:id="rId9"/>
    <sheet state="visible" name="Dashboard" sheetId="6" r:id="rId10"/>
    <sheet state="visible" name="Sheet3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<sst xmlns="http://schemas.openxmlformats.org/spreadsheetml/2006/main" count="276" uniqueCount="109">
  <si>
    <t>Customer ID</t>
  </si>
  <si>
    <t>Name</t>
  </si>
  <si>
    <t>Email</t>
  </si>
  <si>
    <t>Phone</t>
  </si>
  <si>
    <t>Email Valid</t>
  </si>
  <si>
    <t>City</t>
  </si>
  <si>
    <t>State</t>
  </si>
  <si>
    <t>Zip</t>
  </si>
  <si>
    <t xml:space="preserve">SignUp Date </t>
  </si>
  <si>
    <t>Status</t>
  </si>
  <si>
    <t>Total Spent</t>
  </si>
  <si>
    <t>Customer Tier</t>
  </si>
  <si>
    <t>Days Active</t>
  </si>
  <si>
    <t>John Smith</t>
  </si>
  <si>
    <t>john@gmail.com</t>
  </si>
  <si>
    <t>555-1234</t>
  </si>
  <si>
    <t>New York</t>
  </si>
  <si>
    <t>NY</t>
  </si>
  <si>
    <t>10001</t>
  </si>
  <si>
    <t>Active</t>
  </si>
  <si>
    <t>Jane Doe</t>
  </si>
  <si>
    <t>jane.doe@email.com</t>
  </si>
  <si>
    <t>555-5678</t>
  </si>
  <si>
    <t>Los Angeles</t>
  </si>
  <si>
    <t>CA</t>
  </si>
  <si>
    <t>90001</t>
  </si>
  <si>
    <t>Inactive</t>
  </si>
  <si>
    <t>Bob Johnson</t>
  </si>
  <si>
    <t>bob.j@email.com</t>
  </si>
  <si>
    <t>555-9012</t>
  </si>
  <si>
    <t>Chicago</t>
  </si>
  <si>
    <t>IL</t>
  </si>
  <si>
    <t>60601</t>
  </si>
  <si>
    <t>Alice Williams</t>
  </si>
  <si>
    <t>alice@email.com</t>
  </si>
  <si>
    <t>555-3456</t>
  </si>
  <si>
    <t>Houston</t>
  </si>
  <si>
    <t>TX</t>
  </si>
  <si>
    <t>77001</t>
  </si>
  <si>
    <t>Charlie Brown</t>
  </si>
  <si>
    <t>charlie@email.com</t>
  </si>
  <si>
    <t>555-7890</t>
  </si>
  <si>
    <t>Phoenix</t>
  </si>
  <si>
    <t>AZ</t>
  </si>
  <si>
    <t>85001</t>
  </si>
  <si>
    <t>David Miller</t>
  </si>
  <si>
    <t>david.m@email.com</t>
  </si>
  <si>
    <t>555-2345</t>
  </si>
  <si>
    <t>Philadelphia</t>
  </si>
  <si>
    <t>PA</t>
  </si>
  <si>
    <t>19101</t>
  </si>
  <si>
    <t>Eva Garcia</t>
  </si>
  <si>
    <t>evag@email.com</t>
  </si>
  <si>
    <t>555-6789</t>
  </si>
  <si>
    <t>San Antonio</t>
  </si>
  <si>
    <t>78201</t>
  </si>
  <si>
    <t>Frank Wilson</t>
  </si>
  <si>
    <t>frank.w@email.com</t>
  </si>
  <si>
    <t>555-0123</t>
  </si>
  <si>
    <t>San Diego</t>
  </si>
  <si>
    <t>92101</t>
  </si>
  <si>
    <t>Grace Lee</t>
  </si>
  <si>
    <t>grace.lee@email.com</t>
  </si>
  <si>
    <t>555-4567</t>
  </si>
  <si>
    <t>Dallas</t>
  </si>
  <si>
    <t>75201</t>
  </si>
  <si>
    <t>Henry Martin</t>
  </si>
  <si>
    <t>henry.m@email.com</t>
  </si>
  <si>
    <t>555-8901</t>
  </si>
  <si>
    <t>Austin</t>
  </si>
  <si>
    <t>78701</t>
  </si>
  <si>
    <t>Iris Thompson</t>
  </si>
  <si>
    <t>iris.t@email.com</t>
  </si>
  <si>
    <t>Jacksonville</t>
  </si>
  <si>
    <t>FL</t>
  </si>
  <si>
    <t>32201</t>
  </si>
  <si>
    <t>Jack Wilson</t>
  </si>
  <si>
    <t>jack.w@email.com</t>
  </si>
  <si>
    <t>Charlotte</t>
  </si>
  <si>
    <t>NC</t>
  </si>
  <si>
    <t>28201</t>
  </si>
  <si>
    <t>Karen Brown</t>
  </si>
  <si>
    <t>kbrown@email.com</t>
  </si>
  <si>
    <t>Fort Worth</t>
  </si>
  <si>
    <t>76101</t>
  </si>
  <si>
    <t>Leo Martinez</t>
  </si>
  <si>
    <t>leo.m@email.com</t>
  </si>
  <si>
    <t>Columbus</t>
  </si>
  <si>
    <t>OH</t>
  </si>
  <si>
    <t>43201</t>
  </si>
  <si>
    <t>Mia Anderson</t>
  </si>
  <si>
    <t>mia.a@email.com</t>
  </si>
  <si>
    <t>San Francisco</t>
  </si>
  <si>
    <t>94101</t>
  </si>
  <si>
    <t>SUM of Customer ID</t>
  </si>
  <si>
    <t>SUM of Total Spent</t>
  </si>
  <si>
    <t>AVERAGE of Total Spent</t>
  </si>
  <si>
    <t>COUNTA of State</t>
  </si>
  <si>
    <t>COUNTA of City</t>
  </si>
  <si>
    <t>Grand Total</t>
  </si>
  <si>
    <t>COUNTA of Customer Tier</t>
  </si>
  <si>
    <t>Metric</t>
  </si>
  <si>
    <t>Formula</t>
  </si>
  <si>
    <t>Value</t>
  </si>
  <si>
    <t>Total Customers</t>
  </si>
  <si>
    <t>Active Customers</t>
  </si>
  <si>
    <t>Total Revenue</t>
  </si>
  <si>
    <t>Avg. Customer Spend</t>
  </si>
  <si>
    <t>Top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</si>
</sst>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d/m/yyyy"/>
  </numFmts>
  <fonts count="7">
    <font>
      <sz val="10.0"/>
      <color rgb="FF000000"/>
      <name val="Verdana"/>
      <scheme val="minor"/>
    </font>
    <font>
      <color theme="1"/>
      <name val="Verdana"/>
      <scheme val="minor"/>
    </font>
    <font>
      <sz val="10.0"/>
      <color rgb="FF0F1115"/>
      <name val="Verdana"/>
      <scheme val="minor"/>
    </font>
    <font>
      <sz val="11.0"/>
      <color rgb="FF0F1115"/>
      <name val="Menlo"/>
    </font>
    <font>
      <sz val="11.0"/>
      <color rgb="FF0F1115"/>
      <name val="Arial"/>
    </font>
    <font>
      <sz val="11.0"/>
      <color rgb="FF0F1115"/>
      <name val="Quote-cjk-patch"/>
    </font>
    <font>
      <color rgb="FF0F1115"/>
      <name val="Menl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Fill="1" applyFont="1"/>
    <xf borderId="0" fillId="3" fontId="4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4" fontId="1" numFmtId="0" xfId="0" applyFill="1" applyFont="1"/>
    <xf borderId="0" fillId="2" fontId="5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3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Pt>
            <c:idx val="5"/>
            <c:spPr>
              <a:solidFill>
                <a:srgbClr val="FFD4B8"/>
              </a:solidFill>
            </c:spPr>
          </c:dPt>
          <c:dPt>
            <c:idx val="6"/>
            <c:spPr>
              <a:solidFill>
                <a:srgbClr val="5FB8AC"/>
              </a:solidFill>
            </c:spPr>
          </c:dPt>
          <c:dPt>
            <c:idx val="7"/>
            <c:spPr>
              <a:solidFill>
                <a:srgbClr val="6C9CBA"/>
              </a:solidFill>
            </c:spPr>
          </c:dPt>
          <c:dPt>
            <c:idx val="8"/>
            <c:spPr>
              <a:solidFill>
                <a:srgbClr val="6278A1"/>
              </a:solidFill>
            </c:spPr>
          </c:dPt>
          <c:dPt>
            <c:idx val="9"/>
            <c:spPr>
              <a:solidFill>
                <a:srgbClr val="F1894D"/>
              </a:solidFill>
            </c:spPr>
          </c:dPt>
          <c:dPt>
            <c:idx val="10"/>
            <c:spPr>
              <a:solidFill>
                <a:srgbClr val="FFB8C5"/>
              </a:solidFill>
            </c:spPr>
          </c:dPt>
          <c:dPt>
            <c:idx val="11"/>
            <c:spPr>
              <a:solidFill>
                <a:srgbClr val="FFE1CD"/>
              </a:solidFill>
            </c:spPr>
          </c:dPt>
          <c:dPt>
            <c:idx val="12"/>
            <c:spPr>
              <a:solidFill>
                <a:srgbClr val="A3D6CF"/>
              </a:solidFill>
            </c:spPr>
          </c:dPt>
          <c:dPt>
            <c:idx val="13"/>
            <c:spPr>
              <a:solidFill>
                <a:srgbClr val="ABC7D8"/>
              </a:solidFill>
            </c:spPr>
          </c:dPt>
          <c:dPt>
            <c:idx val="14"/>
            <c:spPr>
              <a:solidFill>
                <a:srgbClr val="A5B2C9"/>
              </a:solidFill>
            </c:spPr>
          </c:dPt>
          <c:dPt>
            <c:idx val="15"/>
            <c:spPr>
              <a:solidFill>
                <a:srgbClr val="F7BB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3'!$A$2:$A$17</c:f>
            </c:strRef>
          </c:cat>
          <c:val>
            <c:numRef>
              <c:f>'Pivot Table 3'!$B$2:$B$17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1000">
                <a:solidFill>
                  <a:srgbClr val="000000"/>
                </a:solidFill>
                <a:latin typeface="Arial"/>
              </a:defRPr>
            </a:pPr>
            <a:r>
              <a:rPr b="0" i="1" sz="1000">
                <a:solidFill>
                  <a:srgbClr val="000000"/>
                </a:solidFill>
                <a:latin typeface="Arial"/>
              </a:rPr>
              <a:t>Active Customer Spending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1'!$A$1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'Pivot Table 1'!$A$2:$A$9</c:f>
              <c:numCache/>
            </c:numRef>
          </c:val>
        </c:ser>
        <c:ser>
          <c:idx val="1"/>
          <c:order val="1"/>
          <c:tx>
            <c:strRef>
              <c:f>'Pivot Table 1'!$B$1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'Pivot Table 1'!$B$2:$B$9</c:f>
              <c:numCache/>
            </c:numRef>
          </c:val>
        </c:ser>
        <c:ser>
          <c:idx val="2"/>
          <c:order val="2"/>
          <c:tx>
            <c:strRef>
              <c:f>'Pivot Table 1'!$C$1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'Pivot Table 1'!$C$2:$C$9</c:f>
              <c:numCache/>
            </c:numRef>
          </c:val>
        </c:ser>
        <c:ser>
          <c:idx val="3"/>
          <c:order val="3"/>
          <c:tx>
            <c:strRef>
              <c:f>'Pivot Table 1'!$D$1</c:f>
            </c:strRef>
          </c:tx>
          <c:val>
            <c:numRef>
              <c:f>'Pivot Table 1'!$D$2:$D$9</c:f>
              <c:numCache/>
            </c:numRef>
          </c:val>
        </c:ser>
        <c:axId val="2068773296"/>
        <c:axId val="750590365"/>
      </c:barChart>
      <c:catAx>
        <c:axId val="206877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50590365"/>
      </c:catAx>
      <c:valAx>
        <c:axId val="750590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068773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783F04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Active customers by state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2'!$A$2:$A$9</c:f>
            </c:strRef>
          </c:cat>
          <c:val>
            <c:numRef>
              <c:f>'Pivot Table 2'!$B$2:$B$9</c:f>
              <c:numCache/>
            </c:numRef>
          </c:val>
        </c:ser>
        <c:axId val="1965857631"/>
        <c:axId val="1362900339"/>
      </c:bar3DChart>
      <c:catAx>
        <c:axId val="196585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1362900339"/>
      </c:catAx>
      <c:valAx>
        <c:axId val="1362900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COUNTA of Customer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accent1"/>
                </a:solidFill>
                <a:latin typeface="+mn-lt"/>
              </a:defRPr>
            </a:pPr>
          </a:p>
        </c:txPr>
        <c:crossAx val="1965857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Pt>
            <c:idx val="5"/>
            <c:spPr>
              <a:solidFill>
                <a:srgbClr val="FFD4B8"/>
              </a:solidFill>
            </c:spPr>
          </c:dPt>
          <c:dPt>
            <c:idx val="6"/>
            <c:spPr>
              <a:solidFill>
                <a:srgbClr val="5FB8AC"/>
              </a:solidFill>
            </c:spPr>
          </c:dPt>
          <c:dPt>
            <c:idx val="7"/>
            <c:spPr>
              <a:solidFill>
                <a:srgbClr val="6C9CBA"/>
              </a:solidFill>
            </c:spPr>
          </c:dPt>
          <c:dPt>
            <c:idx val="8"/>
            <c:spPr>
              <a:solidFill>
                <a:srgbClr val="6278A1"/>
              </a:solidFill>
            </c:spPr>
          </c:dPt>
          <c:dPt>
            <c:idx val="9"/>
            <c:spPr>
              <a:solidFill>
                <a:srgbClr val="F1894D"/>
              </a:solidFill>
            </c:spPr>
          </c:dPt>
          <c:dPt>
            <c:idx val="10"/>
            <c:spPr>
              <a:solidFill>
                <a:srgbClr val="FFB8C5"/>
              </a:solidFill>
            </c:spPr>
          </c:dPt>
          <c:dPt>
            <c:idx val="11"/>
            <c:spPr>
              <a:solidFill>
                <a:srgbClr val="FFE1CD"/>
              </a:solidFill>
            </c:spPr>
          </c:dPt>
          <c:dPt>
            <c:idx val="12"/>
            <c:spPr>
              <a:solidFill>
                <a:srgbClr val="A3D6CF"/>
              </a:solidFill>
            </c:spPr>
          </c:dPt>
          <c:dPt>
            <c:idx val="13"/>
            <c:spPr>
              <a:solidFill>
                <a:srgbClr val="ABC7D8"/>
              </a:solidFill>
            </c:spPr>
          </c:dPt>
          <c:dPt>
            <c:idx val="14"/>
            <c:spPr>
              <a:solidFill>
                <a:srgbClr val="A5B2C9"/>
              </a:solidFill>
            </c:spPr>
          </c:dPt>
          <c:dPt>
            <c:idx val="15"/>
            <c:spPr>
              <a:solidFill>
                <a:srgbClr val="F7BB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3'!$A$2:$A$17</c:f>
            </c:strRef>
          </c:cat>
          <c:val>
            <c:numRef>
              <c:f>'Pivot Table 3'!$B$2:$B$17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1343025</xdr:colOff>
      <xdr:row>0</xdr:row>
      <xdr:rowOff>0</xdr:rowOff>
    </xdr:from>
    <xdr:ext cx="6848475" cy="3981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838700" cy="2409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171450</xdr:rowOff>
    </xdr:from>
    <xdr:ext cx="4838700" cy="1571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6" sheet="messy_customers"/>
  </cacheSource>
  <cacheFields>
    <cacheField name="Customer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</sharedItems>
    </cacheField>
    <cacheField name="Name" numFmtId="0">
      <sharedItems>
        <s v="John Smith"/>
        <s v="Jane Doe"/>
        <s v="Bob Johnson"/>
        <s v="Alice Williams"/>
        <s v="Charlie Brown"/>
        <s v="David Miller"/>
        <s v="Eva Garcia"/>
        <s v="Frank Wilson"/>
        <s v="Grace Lee"/>
        <s v="Henry Martin"/>
        <s v="Iris Thompson"/>
        <s v="Jack Wilson"/>
        <s v="Karen Brown"/>
        <s v="Leo Martinez"/>
        <s v="Mia Anderson"/>
      </sharedItems>
    </cacheField>
    <cacheField name="Email" numFmtId="0">
      <sharedItems>
        <s v="john@gmail.com"/>
        <s v="jane.doe@email.com"/>
        <s v="bob.j@email.com"/>
        <s v="alice@email.com"/>
        <s v="charlie@email.com"/>
        <s v="david.m@email.com"/>
        <s v="evag@email.com"/>
        <s v="frank.w@email.com"/>
        <s v="grace.lee@email.com"/>
        <s v="henry.m@email.com"/>
        <s v="iris.t@email.com"/>
        <s v="jack.w@email.com"/>
        <s v="kbrown@email.com"/>
        <s v="leo.m@email.com"/>
        <s v="mia.a@email.com"/>
      </sharedItems>
    </cacheField>
    <cacheField name="Phone" numFmtId="0">
      <sharedItems>
        <s v="555-1234"/>
        <s v="555-5678"/>
        <s v="555-9012"/>
        <s v="555-3456"/>
        <s v="555-7890"/>
        <s v="555-2345"/>
        <s v="555-6789"/>
        <s v="555-0123"/>
        <s v="555-4567"/>
        <s v="555-8901"/>
      </sharedItems>
    </cacheField>
    <cacheField name="Email Valid" numFmtId="0">
      <sharedItems>
        <s v="No"/>
      </sharedItems>
    </cacheField>
    <cacheField name="City" numFmtId="0">
      <sharedItems>
        <s v="New York"/>
        <s v="Los Angeles"/>
        <s v="Chicago"/>
        <s v="Houston"/>
        <s v="Phoenix"/>
        <s v="Philadelphia"/>
        <s v="San Antonio"/>
        <s v="San Diego"/>
        <s v="Dallas"/>
        <s v="Austin"/>
        <s v="Jacksonville"/>
        <s v="Charlotte"/>
        <s v="Fort Worth"/>
        <s v="Columbus"/>
        <s v="San Francisco"/>
      </sharedItems>
    </cacheField>
    <cacheField name="State" numFmtId="0">
      <sharedItems>
        <s v="NY"/>
        <s v="CA"/>
        <s v="IL"/>
        <s v="TX"/>
        <s v="AZ"/>
        <s v="PA"/>
        <s v="FL"/>
        <s v="NC"/>
        <s v="OH"/>
      </sharedItems>
    </cacheField>
    <cacheField name="Zip" numFmtId="0">
      <sharedItems>
        <s v="10001"/>
        <s v="90001"/>
        <s v="60601"/>
        <s v="77001"/>
        <s v="85001"/>
        <s v="19101"/>
        <s v="78201"/>
        <s v="92101"/>
        <s v="75201"/>
        <s v="78701"/>
        <s v="32201"/>
        <s v="28201"/>
        <s v="76101"/>
        <s v="43201"/>
        <s v="94101"/>
      </sharedItems>
    </cacheField>
    <cacheField name="SignUp Date " numFmtId="14">
      <sharedItems containsSemiMixedTypes="0" containsDate="1" containsString="0">
        <d v="2024-01-15T00:00:00Z"/>
        <d v="2024-02-20T00:00:00Z"/>
        <d v="2024-02-01T00:00:00Z"/>
        <d v="2024-01-03T00:00:00Z"/>
        <d v="2024-02-28T00:00:00Z"/>
        <d v="2024-10-01T00:00:00Z"/>
        <d v="2023-12-15T00:00:00Z"/>
        <d v="2024-01-02T00:00:00Z"/>
        <d v="2024-03-15T00:00:00Z"/>
        <d v="2024-01-25T00:00:00Z"/>
        <d v="2023-01-12T00:00:00Z"/>
        <d v="2024-02-15T00:00:00Z"/>
        <d v="2024-01-30T00:00:00Z"/>
        <d v="2023-12-20T00:00:00Z"/>
      </sharedItems>
    </cacheField>
    <cacheField name="Status" numFmtId="0">
      <sharedItems>
        <s v="Active"/>
        <s v="Inactive"/>
      </sharedItems>
    </cacheField>
    <cacheField name="Total Spent" numFmtId="164">
      <sharedItems containsSemiMixedTypes="0" containsString="0" containsNumber="1">
        <n v="250.5"/>
        <n v="175.0"/>
        <n v="310.75"/>
        <n v="89.99"/>
        <n v="420.0"/>
        <n v="55.5"/>
        <n v="180.0"/>
        <n v="0.0"/>
        <n v="295.0"/>
        <n v="150.0"/>
        <n v="75.0"/>
        <n v="5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6" sheet="Clean Data"/>
  </cacheSource>
  <cacheFields>
    <cacheField name="Customer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</sharedItems>
    </cacheField>
    <cacheField name="Name" numFmtId="0">
      <sharedItems>
        <s v="John Smith"/>
        <s v="Jane Doe"/>
        <s v="Bob Johnson"/>
        <s v="Alice Williams"/>
        <s v="Charlie Brown"/>
        <s v="David Miller"/>
        <s v="Eva Garcia"/>
        <s v="Frank Wilson"/>
        <s v="Grace Lee"/>
        <s v="Henry Martin"/>
        <s v="Iris Thompson"/>
        <s v="Jack Wilson"/>
        <s v="Karen Brown"/>
        <s v="Leo Martinez"/>
        <s v="Mia Anderson"/>
      </sharedItems>
    </cacheField>
    <cacheField name="Email" numFmtId="0">
      <sharedItems>
        <s v="john@gmail.com"/>
        <s v="jane.doe@email.com"/>
        <s v="bob.j@email.com"/>
        <s v="alice@email.com"/>
        <s v="charlie@email.com"/>
        <s v="david.m@email.com"/>
        <s v="evag@email.com"/>
        <s v="frank.w@email.com"/>
        <s v="grace.lee@email.com"/>
        <s v="henry.m@email.com"/>
        <s v="iris.t@email.com"/>
        <s v="jack.w@email.com"/>
        <s v="kbrown@email.com"/>
        <s v="leo.m@email.com"/>
        <s v="mia.a@email.com"/>
      </sharedItems>
    </cacheField>
    <cacheField name="Phone" numFmtId="0">
      <sharedItems>
        <s v="555-1234"/>
        <s v="555-5678"/>
        <s v="555-9012"/>
        <s v="555-3456"/>
        <s v="555-7890"/>
        <s v="555-2345"/>
        <s v="555-6789"/>
        <s v="555-0123"/>
        <s v="555-4567"/>
        <s v="555-8901"/>
      </sharedItems>
    </cacheField>
    <cacheField name="Email Valid" numFmtId="0">
      <sharedItems>
        <s v="No"/>
      </sharedItems>
    </cacheField>
    <cacheField name="City" numFmtId="0">
      <sharedItems>
        <s v="New York"/>
        <s v="Los Angeles"/>
        <s v="Chicago"/>
        <s v="Houston"/>
        <s v="Phoenix"/>
        <s v="Philadelphia"/>
        <s v="San Antonio"/>
        <s v="San Diego"/>
        <s v="Dallas"/>
        <s v="Austin"/>
        <s v="Jacksonville"/>
        <s v="Charlotte"/>
        <s v="Fort Worth"/>
        <s v="Columbus"/>
        <s v="San Francisco"/>
      </sharedItems>
    </cacheField>
    <cacheField name="State" numFmtId="0">
      <sharedItems>
        <s v="NY"/>
        <s v="CA"/>
        <s v="IL"/>
        <s v="TX"/>
        <s v="AZ"/>
        <s v="PA"/>
        <s v="FL"/>
        <s v="NC"/>
        <s v="OH"/>
      </sharedItems>
    </cacheField>
    <cacheField name="Zip" numFmtId="0">
      <sharedItems>
        <s v="10001"/>
        <s v="90001"/>
        <s v="60601"/>
        <s v="77001"/>
        <s v="85001"/>
        <s v="19101"/>
        <s v="78201"/>
        <s v="92101"/>
        <s v="75201"/>
        <s v="78701"/>
        <s v="32201"/>
        <s v="28201"/>
        <s v="76101"/>
        <s v="43201"/>
        <s v="94101"/>
      </sharedItems>
    </cacheField>
    <cacheField name="SignUp Date " numFmtId="14">
      <sharedItems containsSemiMixedTypes="0" containsDate="1" containsString="0">
        <d v="2024-01-15T00:00:00Z"/>
        <d v="2024-02-20T00:00:00Z"/>
        <d v="2024-02-01T00:00:00Z"/>
        <d v="2024-01-03T00:00:00Z"/>
        <d v="2024-02-28T00:00:00Z"/>
        <d v="2024-10-01T00:00:00Z"/>
        <d v="2023-12-15T00:00:00Z"/>
        <d v="2024-01-02T00:00:00Z"/>
        <d v="2024-03-15T00:00:00Z"/>
        <d v="2024-01-25T00:00:00Z"/>
        <d v="2023-01-12T00:00:00Z"/>
        <d v="2024-02-15T00:00:00Z"/>
        <d v="2024-01-30T00:00:00Z"/>
        <d v="2023-12-20T00:00:00Z"/>
      </sharedItems>
    </cacheField>
    <cacheField name="Status" numFmtId="0">
      <sharedItems>
        <s v="Active"/>
        <s v="Inactive"/>
      </sharedItems>
    </cacheField>
    <cacheField name="Total Spent" numFmtId="164">
      <sharedItems containsSemiMixedTypes="0" containsString="0" containsNumber="1">
        <n v="250.5"/>
        <n v="175.0"/>
        <n v="310.75"/>
        <n v="89.99"/>
        <n v="420.0"/>
        <n v="55.5"/>
        <n v="180.0"/>
        <n v="0.0"/>
        <n v="295.0"/>
        <n v="150.0"/>
        <n v="75.0"/>
        <n v="500.0"/>
      </sharedItems>
    </cacheField>
    <cacheField name="Customer Tier" numFmtId="0">
      <sharedItems>
        <s v="Gold"/>
        <s v="Silver"/>
        <s v="Bronze"/>
        <s v="Premium"/>
      </sharedItems>
    </cacheField>
    <cacheField name="Days Active" numFmtId="0">
      <sharedItems containsSemiMixedTypes="0" containsString="0" containsNumber="1" containsInteger="1">
        <n v="903.0"/>
        <n v="867.0"/>
        <n v="886.0"/>
        <n v="915.0"/>
        <n v="859.0"/>
        <n v="643.0"/>
        <n v="934.0"/>
        <n v="916.0"/>
        <n v="843.0"/>
        <n v="893.0"/>
        <n v="1271.0"/>
        <n v="872.0"/>
        <n v="888.0"/>
        <n v="92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C4" firstHeaderRow="0" firstDataRow="1" firstDataCol="0" rowPageCount="1" colPageCount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ail Valid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ignUp Date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tatus" axis="axisPage" compact="0" outline="0" multipleItemSelectionAllowed="1" showAll="0">
      <items>
        <item x="0"/>
        <item h="1" x="1"/>
        <item t="default"/>
      </items>
    </pivotField>
    <pivotField name="Total Spe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colFields>
    <field x="-2"/>
  </colFields>
  <pageFields>
    <pageField fld="9"/>
  </pageFields>
  <dataFields>
    <dataField name="SUM of Customer ID" fld="0" baseField="0"/>
    <dataField name="SUM of Total Spent" fld="10" baseField="0"/>
    <dataField name="AVERAGE of Total Spent" fld="10" subtotal="average" baseField="0"/>
  </dataFields>
</pivotTableDefinition>
</file>

<file path=xl/pivotTables/pivotTable2.xml><?xml version="1.0" encoding="utf-8"?>
<pivotTableDefinition xmlns="http://schemas.openxmlformats.org/spreadsheetml/2006/main" name="Pivot Table 3" cacheId="1" dataCaption="" compact="0" compactData="0">
  <location ref="A1:C17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e" axis="axisRow" compact="0" outline="0" multipleItemSelectionAllowed="1" showAll="0" sortType="ascending">
      <items>
        <item x="3"/>
        <item x="2"/>
        <item x="4"/>
        <item x="5"/>
        <item x="6"/>
        <item x="7"/>
        <item x="8"/>
        <item x="9"/>
        <item x="10"/>
        <item x="11"/>
        <item x="1"/>
        <item x="0"/>
        <item x="12"/>
        <item x="13"/>
        <item x="1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ail Valid" compact="0" outline="0" multipleItemSelectionAllowed="1" showAll="0">
      <items>
        <item x="0"/>
        <item t="default"/>
      </items>
    </pivotField>
    <pivotField name="C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ignUp Date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Total Sp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Tier" compact="0" outline="0" multipleItemSelectionAllowed="1" showAll="0">
      <items>
        <item x="0"/>
        <item x="1"/>
        <item x="2"/>
        <item x="3"/>
        <item t="default"/>
      </items>
    </pivotField>
    <pivotField name="Days Ac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"/>
  </rowFields>
  <colFields>
    <field x="-2"/>
  </colFields>
  <dataFields>
    <dataField name="COUNTA of State" fld="6" subtotal="count" baseField="0"/>
    <dataField name="COUNTA of City" fld="5" subtotal="count" baseField="0"/>
  </dataFields>
</pivotTableDefinition>
</file>

<file path=xl/pivotTables/pivotTable3.xml><?xml version="1.0" encoding="utf-8"?>
<pivotTableDefinition xmlns="http://schemas.openxmlformats.org/spreadsheetml/2006/main" name="Pivot Table 2" cacheId="1" dataCaption="" compact="0" compactData="0">
  <location ref="A3:B11" firstHeaderRow="0" firstDataRow="1" firstDataCol="0" rowPageCount="1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ail Valid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ate" axis="axisRow" compact="0" outline="0" multipleItemSelectionAllowed="1" showAll="0" sortType="ascending">
      <items>
        <item x="4"/>
        <item x="1"/>
        <item x="6"/>
        <item x="2"/>
        <item x="7"/>
        <item x="0"/>
        <item x="8"/>
        <item x="5"/>
        <item x="3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ignUp Date 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tatus" axis="axisPage" compact="0" outline="0" multipleItemSelectionAllowed="1" showAll="0">
      <items>
        <item x="0"/>
        <item h="1" x="1"/>
        <item t="default"/>
      </items>
    </pivotField>
    <pivotField name="Total Sp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Tier" dataField="1" compact="0" outline="0" multipleItemSelectionAllowed="1" showAll="0">
      <items>
        <item x="0"/>
        <item x="1"/>
        <item x="2"/>
        <item x="3"/>
        <item t="default"/>
      </items>
    </pivotField>
    <pivotField name="Days Ac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pageFields>
    <pageField fld="9"/>
  </pageFields>
  <dataFields>
    <dataField name="COUNTA of Customer Tier" fld="1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101.0</v>
      </c>
      <c r="B2" s="3" t="s">
        <v>13</v>
      </c>
      <c r="C2" s="1" t="s">
        <v>14</v>
      </c>
      <c r="D2" s="1" t="s">
        <v>15</v>
      </c>
      <c r="E2" s="4" t="str">
        <f t="shared" ref="E2:E16" si="1">IF(ISNUMBER(FIND("@",D2)),"Yes","No")</f>
        <v>No</v>
      </c>
      <c r="F2" s="1" t="s">
        <v>16</v>
      </c>
      <c r="G2" s="3" t="s">
        <v>17</v>
      </c>
      <c r="H2" s="3" t="s">
        <v>18</v>
      </c>
      <c r="I2" s="5">
        <v>45306.0</v>
      </c>
      <c r="J2" s="1" t="s">
        <v>19</v>
      </c>
      <c r="K2" s="6">
        <v>250.5</v>
      </c>
      <c r="L2" s="7" t="str">
        <f t="shared" ref="L2:L16" si="2">IF(K2&gt;400,"Premium",
   IF(K2&gt;200,"Gold",
   IF(K2&gt;100,"Silver","Bronze")))</f>
        <v>Gold</v>
      </c>
      <c r="M2" s="7">
        <f t="shared" ref="M2:M16" si="3">TODAY()-I2</f>
        <v>903</v>
      </c>
    </row>
    <row r="3">
      <c r="A3" s="1">
        <v>102.0</v>
      </c>
      <c r="B3" s="3" t="s">
        <v>20</v>
      </c>
      <c r="C3" s="1" t="s">
        <v>21</v>
      </c>
      <c r="D3" s="1" t="s">
        <v>22</v>
      </c>
      <c r="E3" s="4" t="str">
        <f t="shared" si="1"/>
        <v>No</v>
      </c>
      <c r="F3" s="1" t="s">
        <v>23</v>
      </c>
      <c r="G3" s="3" t="s">
        <v>24</v>
      </c>
      <c r="H3" s="3" t="s">
        <v>25</v>
      </c>
      <c r="I3" s="8">
        <v>45306.0</v>
      </c>
      <c r="J3" s="1" t="s">
        <v>26</v>
      </c>
      <c r="K3" s="9">
        <v>250.5</v>
      </c>
      <c r="L3" s="7" t="str">
        <f t="shared" si="2"/>
        <v>Gold</v>
      </c>
      <c r="M3" s="7">
        <f t="shared" si="3"/>
        <v>903</v>
      </c>
    </row>
    <row r="4">
      <c r="A4" s="1">
        <v>103.0</v>
      </c>
      <c r="B4" s="3" t="s">
        <v>27</v>
      </c>
      <c r="C4" s="1" t="s">
        <v>28</v>
      </c>
      <c r="D4" s="1" t="s">
        <v>29</v>
      </c>
      <c r="E4" s="4" t="str">
        <f t="shared" si="1"/>
        <v>No</v>
      </c>
      <c r="F4" s="1" t="s">
        <v>30</v>
      </c>
      <c r="G4" s="3" t="s">
        <v>31</v>
      </c>
      <c r="H4" s="3" t="s">
        <v>32</v>
      </c>
      <c r="I4" s="5">
        <v>45342.0</v>
      </c>
      <c r="J4" s="1" t="s">
        <v>19</v>
      </c>
      <c r="K4" s="6">
        <v>175.0</v>
      </c>
      <c r="L4" s="7" t="str">
        <f t="shared" si="2"/>
        <v>Silver</v>
      </c>
      <c r="M4" s="7">
        <f t="shared" si="3"/>
        <v>867</v>
      </c>
    </row>
    <row r="5">
      <c r="A5" s="1">
        <v>104.0</v>
      </c>
      <c r="B5" s="3" t="s">
        <v>33</v>
      </c>
      <c r="C5" s="1" t="s">
        <v>34</v>
      </c>
      <c r="D5" s="1" t="s">
        <v>35</v>
      </c>
      <c r="E5" s="4" t="str">
        <f t="shared" si="1"/>
        <v>No</v>
      </c>
      <c r="F5" s="1" t="s">
        <v>36</v>
      </c>
      <c r="G5" s="3" t="s">
        <v>37</v>
      </c>
      <c r="H5" s="3" t="s">
        <v>38</v>
      </c>
      <c r="I5" s="8">
        <v>45323.0</v>
      </c>
      <c r="J5" s="1" t="s">
        <v>19</v>
      </c>
      <c r="K5" s="6">
        <v>310.75</v>
      </c>
      <c r="L5" s="7" t="str">
        <f t="shared" si="2"/>
        <v>Gold</v>
      </c>
      <c r="M5" s="7">
        <f t="shared" si="3"/>
        <v>886</v>
      </c>
    </row>
    <row r="6">
      <c r="A6" s="1">
        <v>105.0</v>
      </c>
      <c r="B6" s="3" t="s">
        <v>39</v>
      </c>
      <c r="C6" s="1" t="s">
        <v>40</v>
      </c>
      <c r="D6" s="1" t="s">
        <v>41</v>
      </c>
      <c r="E6" s="4" t="str">
        <f t="shared" si="1"/>
        <v>No</v>
      </c>
      <c r="F6" s="1" t="s">
        <v>42</v>
      </c>
      <c r="G6" s="3" t="s">
        <v>43</v>
      </c>
      <c r="H6" s="3" t="s">
        <v>44</v>
      </c>
      <c r="I6" s="8">
        <v>45294.0</v>
      </c>
      <c r="J6" s="1" t="s">
        <v>26</v>
      </c>
      <c r="K6" s="6">
        <v>89.99</v>
      </c>
      <c r="L6" s="7" t="str">
        <f t="shared" si="2"/>
        <v>Bronze</v>
      </c>
      <c r="M6" s="7">
        <f t="shared" si="3"/>
        <v>915</v>
      </c>
    </row>
    <row r="7">
      <c r="A7" s="1">
        <v>106.0</v>
      </c>
      <c r="B7" s="3" t="s">
        <v>45</v>
      </c>
      <c r="C7" s="1" t="s">
        <v>46</v>
      </c>
      <c r="D7" s="1" t="s">
        <v>47</v>
      </c>
      <c r="E7" s="4" t="str">
        <f t="shared" si="1"/>
        <v>No</v>
      </c>
      <c r="F7" s="1" t="s">
        <v>48</v>
      </c>
      <c r="G7" s="3" t="s">
        <v>49</v>
      </c>
      <c r="H7" s="3" t="s">
        <v>50</v>
      </c>
      <c r="I7" s="5">
        <v>45350.0</v>
      </c>
      <c r="J7" s="1" t="s">
        <v>19</v>
      </c>
      <c r="K7" s="6">
        <v>420.0</v>
      </c>
      <c r="L7" s="7" t="str">
        <f t="shared" si="2"/>
        <v>Premium</v>
      </c>
      <c r="M7" s="7">
        <f t="shared" si="3"/>
        <v>859</v>
      </c>
    </row>
    <row r="8">
      <c r="A8" s="1">
        <v>107.0</v>
      </c>
      <c r="B8" s="3" t="s">
        <v>51</v>
      </c>
      <c r="C8" s="1" t="s">
        <v>52</v>
      </c>
      <c r="D8" s="1" t="s">
        <v>53</v>
      </c>
      <c r="E8" s="4" t="str">
        <f t="shared" si="1"/>
        <v>No</v>
      </c>
      <c r="F8" s="1" t="s">
        <v>54</v>
      </c>
      <c r="G8" s="3" t="s">
        <v>37</v>
      </c>
      <c r="H8" s="3" t="s">
        <v>55</v>
      </c>
      <c r="I8" s="8">
        <v>45566.0</v>
      </c>
      <c r="J8" s="1" t="s">
        <v>19</v>
      </c>
      <c r="K8" s="9">
        <v>250.5</v>
      </c>
      <c r="L8" s="7" t="str">
        <f t="shared" si="2"/>
        <v>Gold</v>
      </c>
      <c r="M8" s="7">
        <f t="shared" si="3"/>
        <v>643</v>
      </c>
    </row>
    <row r="9">
      <c r="A9" s="1">
        <v>108.0</v>
      </c>
      <c r="B9" s="3" t="s">
        <v>56</v>
      </c>
      <c r="C9" s="1" t="s">
        <v>57</v>
      </c>
      <c r="D9" s="1" t="s">
        <v>58</v>
      </c>
      <c r="E9" s="4" t="str">
        <f t="shared" si="1"/>
        <v>No</v>
      </c>
      <c r="F9" s="1" t="s">
        <v>59</v>
      </c>
      <c r="G9" s="3" t="s">
        <v>24</v>
      </c>
      <c r="H9" s="3" t="s">
        <v>60</v>
      </c>
      <c r="I9" s="5">
        <v>45275.0</v>
      </c>
      <c r="J9" s="1" t="s">
        <v>26</v>
      </c>
      <c r="K9" s="6">
        <v>55.5</v>
      </c>
      <c r="L9" s="7" t="str">
        <f t="shared" si="2"/>
        <v>Bronze</v>
      </c>
      <c r="M9" s="7">
        <f t="shared" si="3"/>
        <v>934</v>
      </c>
    </row>
    <row r="10">
      <c r="A10" s="1">
        <v>109.0</v>
      </c>
      <c r="B10" s="3" t="s">
        <v>61</v>
      </c>
      <c r="C10" s="1" t="s">
        <v>62</v>
      </c>
      <c r="D10" s="1" t="s">
        <v>63</v>
      </c>
      <c r="E10" s="4" t="str">
        <f t="shared" si="1"/>
        <v>No</v>
      </c>
      <c r="F10" s="1" t="s">
        <v>64</v>
      </c>
      <c r="G10" s="3" t="s">
        <v>37</v>
      </c>
      <c r="H10" s="3" t="s">
        <v>65</v>
      </c>
      <c r="I10" s="8">
        <v>45293.0</v>
      </c>
      <c r="J10" s="1" t="s">
        <v>19</v>
      </c>
      <c r="K10" s="6">
        <v>180.0</v>
      </c>
      <c r="L10" s="7" t="str">
        <f t="shared" si="2"/>
        <v>Silver</v>
      </c>
      <c r="M10" s="7">
        <f t="shared" si="3"/>
        <v>916</v>
      </c>
    </row>
    <row r="11">
      <c r="A11" s="1">
        <v>110.0</v>
      </c>
      <c r="B11" s="3" t="s">
        <v>66</v>
      </c>
      <c r="C11" s="1" t="s">
        <v>67</v>
      </c>
      <c r="D11" s="1" t="s">
        <v>68</v>
      </c>
      <c r="E11" s="4" t="str">
        <f t="shared" si="1"/>
        <v>No</v>
      </c>
      <c r="F11" s="1" t="s">
        <v>69</v>
      </c>
      <c r="G11" s="3" t="s">
        <v>37</v>
      </c>
      <c r="H11" s="3" t="s">
        <v>70</v>
      </c>
      <c r="I11" s="5">
        <v>45366.0</v>
      </c>
      <c r="J11" s="1" t="s">
        <v>19</v>
      </c>
      <c r="K11" s="6">
        <v>0.0</v>
      </c>
      <c r="L11" s="7" t="str">
        <f t="shared" si="2"/>
        <v>Bronze</v>
      </c>
      <c r="M11" s="7">
        <f t="shared" si="3"/>
        <v>843</v>
      </c>
    </row>
    <row r="12">
      <c r="A12" s="1">
        <v>111.0</v>
      </c>
      <c r="B12" s="3" t="s">
        <v>71</v>
      </c>
      <c r="C12" s="1" t="s">
        <v>72</v>
      </c>
      <c r="D12" s="1" t="s">
        <v>47</v>
      </c>
      <c r="E12" s="4" t="str">
        <f t="shared" si="1"/>
        <v>No</v>
      </c>
      <c r="F12" s="1" t="s">
        <v>73</v>
      </c>
      <c r="G12" s="3" t="s">
        <v>74</v>
      </c>
      <c r="H12" s="3" t="s">
        <v>75</v>
      </c>
      <c r="I12" s="5">
        <v>45316.0</v>
      </c>
      <c r="J12" s="1" t="s">
        <v>19</v>
      </c>
      <c r="K12" s="6">
        <v>295.0</v>
      </c>
      <c r="L12" s="7" t="str">
        <f t="shared" si="2"/>
        <v>Gold</v>
      </c>
      <c r="M12" s="7">
        <f t="shared" si="3"/>
        <v>893</v>
      </c>
    </row>
    <row r="13">
      <c r="A13" s="1">
        <v>112.0</v>
      </c>
      <c r="B13" s="3" t="s">
        <v>76</v>
      </c>
      <c r="C13" s="1" t="s">
        <v>77</v>
      </c>
      <c r="D13" s="1" t="s">
        <v>53</v>
      </c>
      <c r="E13" s="4" t="str">
        <f t="shared" si="1"/>
        <v>No</v>
      </c>
      <c r="F13" s="1" t="s">
        <v>78</v>
      </c>
      <c r="G13" s="3" t="s">
        <v>79</v>
      </c>
      <c r="H13" s="3" t="s">
        <v>80</v>
      </c>
      <c r="I13" s="8">
        <v>44938.0</v>
      </c>
      <c r="J13" s="1" t="s">
        <v>19</v>
      </c>
      <c r="K13" s="6">
        <v>150.0</v>
      </c>
      <c r="L13" s="7" t="str">
        <f t="shared" si="2"/>
        <v>Silver</v>
      </c>
      <c r="M13" s="7">
        <f t="shared" si="3"/>
        <v>1271</v>
      </c>
    </row>
    <row r="14">
      <c r="A14" s="1">
        <v>113.0</v>
      </c>
      <c r="B14" s="3" t="s">
        <v>81</v>
      </c>
      <c r="C14" s="1" t="s">
        <v>82</v>
      </c>
      <c r="D14" s="1" t="s">
        <v>58</v>
      </c>
      <c r="E14" s="4" t="str">
        <f t="shared" si="1"/>
        <v>No</v>
      </c>
      <c r="F14" s="1" t="s">
        <v>83</v>
      </c>
      <c r="G14" s="3" t="s">
        <v>37</v>
      </c>
      <c r="H14" s="3" t="s">
        <v>84</v>
      </c>
      <c r="I14" s="5">
        <v>45337.0</v>
      </c>
      <c r="J14" s="1" t="s">
        <v>26</v>
      </c>
      <c r="K14" s="6">
        <v>75.0</v>
      </c>
      <c r="L14" s="7" t="str">
        <f t="shared" si="2"/>
        <v>Bronze</v>
      </c>
      <c r="M14" s="7">
        <f t="shared" si="3"/>
        <v>872</v>
      </c>
    </row>
    <row r="15">
      <c r="A15" s="1">
        <v>114.0</v>
      </c>
      <c r="B15" s="3" t="s">
        <v>85</v>
      </c>
      <c r="C15" s="1" t="s">
        <v>86</v>
      </c>
      <c r="D15" s="1" t="s">
        <v>63</v>
      </c>
      <c r="E15" s="4" t="str">
        <f t="shared" si="1"/>
        <v>No</v>
      </c>
      <c r="F15" s="1" t="s">
        <v>87</v>
      </c>
      <c r="G15" s="3" t="s">
        <v>88</v>
      </c>
      <c r="H15" s="3" t="s">
        <v>89</v>
      </c>
      <c r="I15" s="5">
        <v>45321.0</v>
      </c>
      <c r="J15" s="1" t="s">
        <v>19</v>
      </c>
      <c r="K15" s="6">
        <v>500.0</v>
      </c>
      <c r="L15" s="7" t="str">
        <f t="shared" si="2"/>
        <v>Premium</v>
      </c>
      <c r="M15" s="7">
        <f t="shared" si="3"/>
        <v>888</v>
      </c>
    </row>
    <row r="16">
      <c r="A16" s="1">
        <v>115.0</v>
      </c>
      <c r="B16" s="3" t="s">
        <v>90</v>
      </c>
      <c r="C16" s="1" t="s">
        <v>91</v>
      </c>
      <c r="D16" s="1" t="s">
        <v>68</v>
      </c>
      <c r="E16" s="4" t="str">
        <f t="shared" si="1"/>
        <v>No</v>
      </c>
      <c r="F16" s="1" t="s">
        <v>92</v>
      </c>
      <c r="G16" s="3" t="s">
        <v>24</v>
      </c>
      <c r="H16" s="3" t="s">
        <v>93</v>
      </c>
      <c r="I16" s="5">
        <v>45280.0</v>
      </c>
      <c r="J16" s="1" t="s">
        <v>26</v>
      </c>
      <c r="K16" s="6">
        <v>0.0</v>
      </c>
      <c r="L16" s="7" t="str">
        <f t="shared" si="2"/>
        <v>Bronze</v>
      </c>
      <c r="M16" s="7">
        <f t="shared" si="3"/>
        <v>929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101.0</v>
      </c>
      <c r="B2" s="3" t="s">
        <v>13</v>
      </c>
      <c r="C2" s="1" t="s">
        <v>14</v>
      </c>
      <c r="D2" s="1" t="s">
        <v>15</v>
      </c>
      <c r="E2" s="4" t="str">
        <f t="shared" ref="E2:E16" si="1">IF(ISNUMBER(FIND("@",D2)),"Yes","No")</f>
        <v>No</v>
      </c>
      <c r="F2" s="1" t="s">
        <v>16</v>
      </c>
      <c r="G2" s="3" t="s">
        <v>17</v>
      </c>
      <c r="H2" s="3" t="s">
        <v>18</v>
      </c>
      <c r="I2" s="5">
        <v>45306.0</v>
      </c>
      <c r="J2" s="1" t="s">
        <v>19</v>
      </c>
      <c r="K2" s="6">
        <v>250.5</v>
      </c>
      <c r="L2" s="7" t="str">
        <f t="shared" ref="L2:L16" si="2">IF(K2&gt;400,"Premium",
   IF(K2&gt;200,"Gold",
   IF(K2&gt;100,"Silver","Bronze")))</f>
        <v>Gold</v>
      </c>
      <c r="M2" s="7">
        <f t="shared" ref="M2:M16" si="3">TODAY()-I2</f>
        <v>903</v>
      </c>
    </row>
    <row r="3">
      <c r="A3" s="1">
        <v>102.0</v>
      </c>
      <c r="B3" s="3" t="s">
        <v>20</v>
      </c>
      <c r="C3" s="1" t="s">
        <v>21</v>
      </c>
      <c r="D3" s="1" t="s">
        <v>22</v>
      </c>
      <c r="E3" s="4" t="str">
        <f t="shared" si="1"/>
        <v>No</v>
      </c>
      <c r="F3" s="1" t="s">
        <v>23</v>
      </c>
      <c r="G3" s="3" t="s">
        <v>24</v>
      </c>
      <c r="H3" s="3" t="s">
        <v>25</v>
      </c>
      <c r="I3" s="8">
        <v>45306.0</v>
      </c>
      <c r="J3" s="1" t="s">
        <v>26</v>
      </c>
      <c r="K3" s="9">
        <v>250.5</v>
      </c>
      <c r="L3" s="7" t="str">
        <f t="shared" si="2"/>
        <v>Gold</v>
      </c>
      <c r="M3" s="7">
        <f t="shared" si="3"/>
        <v>903</v>
      </c>
    </row>
    <row r="4">
      <c r="A4" s="1">
        <v>103.0</v>
      </c>
      <c r="B4" s="3" t="s">
        <v>27</v>
      </c>
      <c r="C4" s="1" t="s">
        <v>28</v>
      </c>
      <c r="D4" s="1" t="s">
        <v>29</v>
      </c>
      <c r="E4" s="4" t="str">
        <f t="shared" si="1"/>
        <v>No</v>
      </c>
      <c r="F4" s="1" t="s">
        <v>30</v>
      </c>
      <c r="G4" s="3" t="s">
        <v>31</v>
      </c>
      <c r="H4" s="3" t="s">
        <v>32</v>
      </c>
      <c r="I4" s="5">
        <v>45342.0</v>
      </c>
      <c r="J4" s="1" t="s">
        <v>19</v>
      </c>
      <c r="K4" s="6">
        <v>175.0</v>
      </c>
      <c r="L4" s="7" t="str">
        <f t="shared" si="2"/>
        <v>Silver</v>
      </c>
      <c r="M4" s="7">
        <f t="shared" si="3"/>
        <v>867</v>
      </c>
    </row>
    <row r="5">
      <c r="A5" s="1">
        <v>104.0</v>
      </c>
      <c r="B5" s="3" t="s">
        <v>33</v>
      </c>
      <c r="C5" s="1" t="s">
        <v>34</v>
      </c>
      <c r="D5" s="1" t="s">
        <v>35</v>
      </c>
      <c r="E5" s="4" t="str">
        <f t="shared" si="1"/>
        <v>No</v>
      </c>
      <c r="F5" s="1" t="s">
        <v>36</v>
      </c>
      <c r="G5" s="3" t="s">
        <v>37</v>
      </c>
      <c r="H5" s="3" t="s">
        <v>38</v>
      </c>
      <c r="I5" s="8">
        <v>45323.0</v>
      </c>
      <c r="J5" s="1" t="s">
        <v>19</v>
      </c>
      <c r="K5" s="6">
        <v>310.75</v>
      </c>
      <c r="L5" s="7" t="str">
        <f t="shared" si="2"/>
        <v>Gold</v>
      </c>
      <c r="M5" s="7">
        <f t="shared" si="3"/>
        <v>886</v>
      </c>
    </row>
    <row r="6">
      <c r="A6" s="1">
        <v>105.0</v>
      </c>
      <c r="B6" s="3" t="s">
        <v>39</v>
      </c>
      <c r="C6" s="1" t="s">
        <v>40</v>
      </c>
      <c r="D6" s="1" t="s">
        <v>41</v>
      </c>
      <c r="E6" s="4" t="str">
        <f t="shared" si="1"/>
        <v>No</v>
      </c>
      <c r="F6" s="1" t="s">
        <v>42</v>
      </c>
      <c r="G6" s="3" t="s">
        <v>43</v>
      </c>
      <c r="H6" s="3" t="s">
        <v>44</v>
      </c>
      <c r="I6" s="8">
        <v>45294.0</v>
      </c>
      <c r="J6" s="1" t="s">
        <v>26</v>
      </c>
      <c r="K6" s="6">
        <v>89.99</v>
      </c>
      <c r="L6" s="7" t="str">
        <f t="shared" si="2"/>
        <v>Bronze</v>
      </c>
      <c r="M6" s="7">
        <f t="shared" si="3"/>
        <v>915</v>
      </c>
    </row>
    <row r="7">
      <c r="A7" s="1">
        <v>106.0</v>
      </c>
      <c r="B7" s="3" t="s">
        <v>45</v>
      </c>
      <c r="C7" s="1" t="s">
        <v>46</v>
      </c>
      <c r="D7" s="1" t="s">
        <v>47</v>
      </c>
      <c r="E7" s="4" t="str">
        <f t="shared" si="1"/>
        <v>No</v>
      </c>
      <c r="F7" s="1" t="s">
        <v>48</v>
      </c>
      <c r="G7" s="3" t="s">
        <v>49</v>
      </c>
      <c r="H7" s="3" t="s">
        <v>50</v>
      </c>
      <c r="I7" s="5">
        <v>45350.0</v>
      </c>
      <c r="J7" s="1" t="s">
        <v>19</v>
      </c>
      <c r="K7" s="6">
        <v>420.0</v>
      </c>
      <c r="L7" s="7" t="str">
        <f t="shared" si="2"/>
        <v>Premium</v>
      </c>
      <c r="M7" s="7">
        <f t="shared" si="3"/>
        <v>859</v>
      </c>
    </row>
    <row r="8">
      <c r="A8" s="1">
        <v>107.0</v>
      </c>
      <c r="B8" s="3" t="s">
        <v>51</v>
      </c>
      <c r="C8" s="1" t="s">
        <v>52</v>
      </c>
      <c r="D8" s="1" t="s">
        <v>53</v>
      </c>
      <c r="E8" s="4" t="str">
        <f t="shared" si="1"/>
        <v>No</v>
      </c>
      <c r="F8" s="1" t="s">
        <v>54</v>
      </c>
      <c r="G8" s="3" t="s">
        <v>37</v>
      </c>
      <c r="H8" s="3" t="s">
        <v>55</v>
      </c>
      <c r="I8" s="8">
        <v>45566.0</v>
      </c>
      <c r="J8" s="1" t="s">
        <v>19</v>
      </c>
      <c r="K8" s="9">
        <v>250.5</v>
      </c>
      <c r="L8" s="7" t="str">
        <f t="shared" si="2"/>
        <v>Gold</v>
      </c>
      <c r="M8" s="7">
        <f t="shared" si="3"/>
        <v>643</v>
      </c>
    </row>
    <row r="9">
      <c r="A9" s="1">
        <v>108.0</v>
      </c>
      <c r="B9" s="3" t="s">
        <v>56</v>
      </c>
      <c r="C9" s="1" t="s">
        <v>57</v>
      </c>
      <c r="D9" s="1" t="s">
        <v>58</v>
      </c>
      <c r="E9" s="4" t="str">
        <f t="shared" si="1"/>
        <v>No</v>
      </c>
      <c r="F9" s="1" t="s">
        <v>59</v>
      </c>
      <c r="G9" s="3" t="s">
        <v>24</v>
      </c>
      <c r="H9" s="3" t="s">
        <v>60</v>
      </c>
      <c r="I9" s="5">
        <v>45275.0</v>
      </c>
      <c r="J9" s="1" t="s">
        <v>26</v>
      </c>
      <c r="K9" s="6">
        <v>55.5</v>
      </c>
      <c r="L9" s="7" t="str">
        <f t="shared" si="2"/>
        <v>Bronze</v>
      </c>
      <c r="M9" s="7">
        <f t="shared" si="3"/>
        <v>934</v>
      </c>
    </row>
    <row r="10">
      <c r="A10" s="1">
        <v>109.0</v>
      </c>
      <c r="B10" s="3" t="s">
        <v>61</v>
      </c>
      <c r="C10" s="1" t="s">
        <v>62</v>
      </c>
      <c r="D10" s="1" t="s">
        <v>63</v>
      </c>
      <c r="E10" s="4" t="str">
        <f t="shared" si="1"/>
        <v>No</v>
      </c>
      <c r="F10" s="1" t="s">
        <v>64</v>
      </c>
      <c r="G10" s="3" t="s">
        <v>37</v>
      </c>
      <c r="H10" s="3" t="s">
        <v>65</v>
      </c>
      <c r="I10" s="8">
        <v>45293.0</v>
      </c>
      <c r="J10" s="1" t="s">
        <v>19</v>
      </c>
      <c r="K10" s="6">
        <v>180.0</v>
      </c>
      <c r="L10" s="7" t="str">
        <f t="shared" si="2"/>
        <v>Silver</v>
      </c>
      <c r="M10" s="7">
        <f t="shared" si="3"/>
        <v>916</v>
      </c>
    </row>
    <row r="11">
      <c r="A11" s="1">
        <v>110.0</v>
      </c>
      <c r="B11" s="3" t="s">
        <v>66</v>
      </c>
      <c r="C11" s="1" t="s">
        <v>67</v>
      </c>
      <c r="D11" s="1" t="s">
        <v>68</v>
      </c>
      <c r="E11" s="4" t="str">
        <f t="shared" si="1"/>
        <v>No</v>
      </c>
      <c r="F11" s="1" t="s">
        <v>69</v>
      </c>
      <c r="G11" s="3" t="s">
        <v>37</v>
      </c>
      <c r="H11" s="3" t="s">
        <v>70</v>
      </c>
      <c r="I11" s="5">
        <v>45366.0</v>
      </c>
      <c r="J11" s="1" t="s">
        <v>19</v>
      </c>
      <c r="K11" s="6">
        <v>0.0</v>
      </c>
      <c r="L11" s="7" t="str">
        <f t="shared" si="2"/>
        <v>Bronze</v>
      </c>
      <c r="M11" s="7">
        <f t="shared" si="3"/>
        <v>843</v>
      </c>
    </row>
    <row r="12">
      <c r="A12" s="1">
        <v>111.0</v>
      </c>
      <c r="B12" s="3" t="s">
        <v>71</v>
      </c>
      <c r="C12" s="1" t="s">
        <v>72</v>
      </c>
      <c r="D12" s="1" t="s">
        <v>47</v>
      </c>
      <c r="E12" s="4" t="str">
        <f t="shared" si="1"/>
        <v>No</v>
      </c>
      <c r="F12" s="1" t="s">
        <v>73</v>
      </c>
      <c r="G12" s="3" t="s">
        <v>74</v>
      </c>
      <c r="H12" s="3" t="s">
        <v>75</v>
      </c>
      <c r="I12" s="5">
        <v>45316.0</v>
      </c>
      <c r="J12" s="1" t="s">
        <v>19</v>
      </c>
      <c r="K12" s="6">
        <v>295.0</v>
      </c>
      <c r="L12" s="7" t="str">
        <f t="shared" si="2"/>
        <v>Gold</v>
      </c>
      <c r="M12" s="7">
        <f t="shared" si="3"/>
        <v>893</v>
      </c>
    </row>
    <row r="13">
      <c r="A13" s="1">
        <v>112.0</v>
      </c>
      <c r="B13" s="3" t="s">
        <v>76</v>
      </c>
      <c r="C13" s="1" t="s">
        <v>77</v>
      </c>
      <c r="D13" s="1" t="s">
        <v>53</v>
      </c>
      <c r="E13" s="4" t="str">
        <f t="shared" si="1"/>
        <v>No</v>
      </c>
      <c r="F13" s="1" t="s">
        <v>78</v>
      </c>
      <c r="G13" s="3" t="s">
        <v>79</v>
      </c>
      <c r="H13" s="3" t="s">
        <v>80</v>
      </c>
      <c r="I13" s="8">
        <v>44938.0</v>
      </c>
      <c r="J13" s="1" t="s">
        <v>19</v>
      </c>
      <c r="K13" s="6">
        <v>150.0</v>
      </c>
      <c r="L13" s="7" t="str">
        <f t="shared" si="2"/>
        <v>Silver</v>
      </c>
      <c r="M13" s="7">
        <f t="shared" si="3"/>
        <v>1271</v>
      </c>
    </row>
    <row r="14">
      <c r="A14" s="1">
        <v>113.0</v>
      </c>
      <c r="B14" s="3" t="s">
        <v>81</v>
      </c>
      <c r="C14" s="1" t="s">
        <v>82</v>
      </c>
      <c r="D14" s="1" t="s">
        <v>58</v>
      </c>
      <c r="E14" s="4" t="str">
        <f t="shared" si="1"/>
        <v>No</v>
      </c>
      <c r="F14" s="1" t="s">
        <v>83</v>
      </c>
      <c r="G14" s="3" t="s">
        <v>37</v>
      </c>
      <c r="H14" s="3" t="s">
        <v>84</v>
      </c>
      <c r="I14" s="5">
        <v>45337.0</v>
      </c>
      <c r="J14" s="1" t="s">
        <v>26</v>
      </c>
      <c r="K14" s="6">
        <v>75.0</v>
      </c>
      <c r="L14" s="7" t="str">
        <f t="shared" si="2"/>
        <v>Bronze</v>
      </c>
      <c r="M14" s="7">
        <f t="shared" si="3"/>
        <v>872</v>
      </c>
    </row>
    <row r="15">
      <c r="A15" s="1">
        <v>114.0</v>
      </c>
      <c r="B15" s="3" t="s">
        <v>85</v>
      </c>
      <c r="C15" s="1" t="s">
        <v>86</v>
      </c>
      <c r="D15" s="1" t="s">
        <v>63</v>
      </c>
      <c r="E15" s="4" t="str">
        <f t="shared" si="1"/>
        <v>No</v>
      </c>
      <c r="F15" s="1" t="s">
        <v>87</v>
      </c>
      <c r="G15" s="3" t="s">
        <v>88</v>
      </c>
      <c r="H15" s="3" t="s">
        <v>89</v>
      </c>
      <c r="I15" s="5">
        <v>45321.0</v>
      </c>
      <c r="J15" s="1" t="s">
        <v>19</v>
      </c>
      <c r="K15" s="6">
        <v>500.0</v>
      </c>
      <c r="L15" s="7" t="str">
        <f t="shared" si="2"/>
        <v>Premium</v>
      </c>
      <c r="M15" s="7">
        <f t="shared" si="3"/>
        <v>888</v>
      </c>
    </row>
    <row r="16">
      <c r="A16" s="1">
        <v>115.0</v>
      </c>
      <c r="B16" s="3" t="s">
        <v>90</v>
      </c>
      <c r="C16" s="1" t="s">
        <v>91</v>
      </c>
      <c r="D16" s="1" t="s">
        <v>68</v>
      </c>
      <c r="E16" s="4" t="str">
        <f t="shared" si="1"/>
        <v>No</v>
      </c>
      <c r="F16" s="1" t="s">
        <v>92</v>
      </c>
      <c r="G16" s="3" t="s">
        <v>24</v>
      </c>
      <c r="H16" s="3" t="s">
        <v>93</v>
      </c>
      <c r="I16" s="5">
        <v>45280.0</v>
      </c>
      <c r="J16" s="1" t="s">
        <v>26</v>
      </c>
      <c r="K16" s="6">
        <v>0.0</v>
      </c>
      <c r="L16" s="7" t="str">
        <f t="shared" si="2"/>
        <v>Bronze</v>
      </c>
      <c r="M16" s="7">
        <f t="shared" si="3"/>
        <v>929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2" max="2" width="17.78"/>
  </cols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8.0"/>
    <col customWidth="1" min="2" max="2" width="22.78"/>
    <col customWidth="1" min="3" max="3" width="19.89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11" t="s">
        <v>101</v>
      </c>
      <c r="B1" s="11" t="s">
        <v>102</v>
      </c>
      <c r="C1" s="11" t="s">
        <v>103</v>
      </c>
    </row>
    <row r="2">
      <c r="A2" s="12" t="s">
        <v>104</v>
      </c>
      <c r="B2" s="13">
        <f>COUNTA('Clean Data'!A:A)</f>
        <v>16</v>
      </c>
    </row>
    <row r="3">
      <c r="A3" s="1" t="s">
        <v>105</v>
      </c>
      <c r="B3" s="7">
        <f>COUNTIF('Clean Data'!J:J,"Active")</f>
        <v>10</v>
      </c>
    </row>
    <row r="4">
      <c r="A4" s="12" t="s">
        <v>106</v>
      </c>
      <c r="B4" s="7">
        <f>SUM('Clean Data'!K:K)</f>
        <v>3002.74</v>
      </c>
    </row>
    <row r="5">
      <c r="A5" s="12" t="s">
        <v>107</v>
      </c>
      <c r="B5" s="13">
        <f>AVERAGE('Clean Data'!K:K)</f>
        <v>200.1826667</v>
      </c>
    </row>
    <row r="6">
      <c r="A6" s="12" t="s">
        <v>108</v>
      </c>
      <c r="B6" s="7" t="str">
        <f t="array" ref="B6">INDEX('Clean Data'!B:B,MATCH(MAX('Clean Data'!K:K),'Clean Data'!K:K,0))</f>
        <v>Leo Martinez</v>
      </c>
    </row>
  </sheetData>
  <drawing r:id="rId1"/>
</worksheet>
</file>